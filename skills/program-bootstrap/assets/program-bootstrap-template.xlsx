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17719acca044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PID" sheetId="1" r:id="R3a3ae328b2774c03"/>
    <x:sheet xmlns:r="http://schemas.openxmlformats.org/officeDocument/2006/relationships" name="02 Workstream Map" sheetId="2" r:id="R4667dfd1727843ca"/>
    <x:sheet xmlns:r="http://schemas.openxmlformats.org/officeDocument/2006/relationships" name="03 Deliverables" sheetId="3" r:id="R6dfb661d69434dc1"/>
    <x:sheet xmlns:r="http://schemas.openxmlformats.org/officeDocument/2006/relationships" name="04 Workstreams &amp; Measures" sheetId="4" r:id="R84a93a4b6fad4dfb"/>
    <x:sheet xmlns:r="http://schemas.openxmlformats.org/officeDocument/2006/relationships" name="05 RAID" sheetId="5" r:id="R59d42799fb824c3a"/>
    <x:sheet xmlns:r="http://schemas.openxmlformats.org/officeDocument/2006/relationships" name="06 Evidence &amp; Gaps" sheetId="6" r:id="R2f09b2bee4e840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2606D"/>
      <x:name val="Carlito"/>
    </x:font>
    <x:font>
      <x:b/>
      <x:sz val="11"/>
      <x:color rgb="FF172B4D"/>
      <x:name val="Carlito"/>
    </x:font>
    <x:font>
      <x:sz val="11"/>
      <x:color rgb="FF172B4D"/>
      <x:name val="Carlito"/>
    </x:font>
    <x:font>
      <x:b/>
      <x:sz val="12"/>
      <x:color rgb="FF92400E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b/>
      <x:sz val="20"/>
      <x:color rgb="FF102A43"/>
      <x:name val="Carlito"/>
    </x:font>
    <x:font>
      <x:b/>
      <x:sz val="11"/>
      <x:color rgb="FF102A43"/>
      <x:name val="Carlito"/>
    </x:font>
    <x:font>
      <x:sz val="10"/>
      <x:color rgb="FF172B4D"/>
      <x:name val="Carlito"/>
    </x:font>
    <x:font>
      <x:b/>
      <x:sz val="10"/>
      <x:color rgb="FF172B4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8F1F8"/>
      </x:patternFill>
    </x:fill>
    <x:fill>
      <x:patternFill patternType="solid">
        <x:fgColor rgb="FFF3F4F6"/>
      </x:patternFill>
    </x:fill>
    <x:fill>
      <x:patternFill patternType="solid">
        <x:fgColor rgb="FFFEF3C7"/>
      </x:patternFill>
    </x:fill>
    <x:fill>
      <x:patternFill patternType="solid">
        <x:fgColor rgb="FFFFFBEB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</x:fills>
  <x:borders count="20">
    <x:border/>
    <x:border>
      <x:bottom style="thin">
        <x:color rgb="FFCBD5E1"/>
      </x:bottom>
    </x:border>
    <x:border>
      <x:left style="medium">
        <x:color rgb="FFF59E0B"/>
      </x:left>
      <x:top style="medium">
        <x:color rgb="FFF59E0B"/>
      </x:top>
      <x:bottom style="medium">
        <x:color rgb="FFF59E0B"/>
      </x:bottom>
    </x:border>
    <x:border>
      <x:top style="medium">
        <x:color rgb="FFF59E0B"/>
      </x:top>
      <x:bottom style="medium">
        <x:color rgb="FFF59E0B"/>
      </x:bottom>
    </x:border>
    <x:border>
      <x:right style="medium">
        <x:color rgb="FFF59E0B"/>
      </x:right>
      <x:top style="medium">
        <x:color rgb="FFF59E0B"/>
      </x:top>
      <x:bottom style="medium">
        <x:color rgb="FFF59E0B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bottom style="medium">
        <x:color rgb="FF0F766E"/>
      </x:bottom>
    </x:border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vertical="top" wrapText="1"/>
    </x:xf>
    <x:xf numFmtId="0" fontId="4" fillId="6" borderId="9" xfId="0" applyNumberFormat="1" applyFont="1" applyFill="1" applyBorder="1" applyAlignment="1">
      <x:alignment vertical="top" wrapText="1"/>
    </x:xf>
    <x:xf numFmtId="0" fontId="4" fillId="6" borderId="1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11" xfId="0" applyNumberFormat="1" applyFont="1" applyFill="1" applyBorder="1"/>
    <x:xf numFmtId="0" fontId="8" fillId="7" borderId="12" xfId="0" applyNumberFormat="1" applyFont="1" applyFill="1" applyBorder="1"/>
    <x:xf numFmtId="0" fontId="8" fillId="7" borderId="13" xfId="0" applyNumberFormat="1" applyFont="1" applyFill="1" applyBorder="1"/>
    <x:xf numFmtId="0" fontId="8" fillId="7" borderId="14" xfId="0" applyNumberFormat="1" applyFont="1" applyFill="1" applyBorder="1"/>
    <x:xf numFmtId="0" fontId="8" fillId="7" borderId="11" xfId="0" applyNumberFormat="1" applyFont="1" applyFill="1" applyBorder="1" applyAlignment="1">
      <x:alignment horizontal="center"/>
    </x:xf>
    <x:xf numFmtId="0" fontId="8" fillId="7" borderId="12" xfId="0" applyNumberFormat="1" applyFont="1" applyFill="1" applyBorder="1" applyAlignment="1">
      <x:alignment horizontal="center"/>
    </x:xf>
    <x:xf numFmtId="0" fontId="8" fillId="7" borderId="13" xfId="0" applyNumberFormat="1" applyFont="1" applyFill="1" applyBorder="1" applyAlignment="1">
      <x:alignment horizontal="center"/>
    </x:xf>
    <x:xf numFmtId="0" fontId="8" fillId="7" borderId="14" xfId="0" applyNumberFormat="1" applyFont="1" applyFill="1" applyBorder="1" applyAlignment="1">
      <x:alignment horizontal="center"/>
    </x:xf>
    <x:xf numFmtId="0" fontId="8" fillId="7" borderId="11" xfId="0" applyNumberFormat="1" applyFont="1" applyFill="1" applyBorder="1" applyAlignment="1">
      <x:alignment horizontal="center" vertical="center"/>
    </x:xf>
    <x:xf numFmtId="0" fontId="8" fillId="7" borderId="12" xfId="0" applyNumberFormat="1" applyFont="1" applyFill="1" applyBorder="1" applyAlignment="1">
      <x:alignment horizontal="center" vertical="center"/>
    </x:xf>
    <x:xf numFmtId="0" fontId="8" fillId="7" borderId="13" xfId="0" applyNumberFormat="1" applyFont="1" applyFill="1" applyBorder="1" applyAlignment="1">
      <x:alignment horizontal="center" vertical="center"/>
    </x:xf>
    <x:xf numFmtId="0" fontId="8" fillId="7" borderId="14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/>
    <x:xf numFmtId="0" fontId="9" fillId="3" borderId="15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16" xfId="0" applyNumberFormat="1" applyFont="1" applyFill="1" applyBorder="1"/>
    <x:xf numFmtId="0" fontId="6" fillId="8" borderId="17" xfId="0" applyNumberFormat="1" applyFont="1" applyFill="1" applyBorder="1"/>
    <x:xf numFmtId="0" fontId="6" fillId="8" borderId="18" xfId="0" applyNumberFormat="1" applyFont="1" applyFill="1" applyBorder="1"/>
    <x:xf numFmtId="0" fontId="6" fillId="8" borderId="16" xfId="0" applyNumberFormat="1" applyFont="1" applyFill="1" applyBorder="1" applyAlignment="1">
      <x:alignment wrapText="1"/>
    </x:xf>
    <x:xf numFmtId="0" fontId="6" fillId="8" borderId="17" xfId="0" applyNumberFormat="1" applyFont="1" applyFill="1" applyBorder="1" applyAlignment="1">
      <x:alignment wrapText="1"/>
    </x:xf>
    <x:xf numFmtId="0" fontId="6" fillId="8" borderId="18" xfId="0" applyNumberFormat="1" applyFont="1" applyFill="1" applyBorder="1" applyAlignment="1">
      <x:alignment wrapText="1"/>
    </x:xf>
    <x:xf numFmtId="0" fontId="6" fillId="8" borderId="16" xfId="0" applyNumberFormat="1" applyFont="1" applyFill="1" applyBorder="1" applyAlignment="1">
      <x:alignment vertical="center" wrapText="1"/>
    </x:xf>
    <x:xf numFmtId="0" fontId="6" fillId="8" borderId="17" xfId="0" applyNumberFormat="1" applyFont="1" applyFill="1" applyBorder="1" applyAlignment="1">
      <x:alignment vertical="center" wrapText="1"/>
    </x:xf>
    <x:xf numFmtId="0" fontId="6" fillId="8" borderId="18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/>
    <x:xf numFmtId="0" fontId="10" fillId="0" borderId="19" xfId="0" applyNumberFormat="1" applyFont="1" applyFill="1" applyBorder="1"/>
    <x:xf numFmtId="0" fontId="10" fillId="0" borderId="1" xfId="0" applyNumberFormat="1" applyFont="1" applyFill="1" applyBorder="1" applyAlignment="1">
      <x:alignment wrapText="1"/>
    </x:xf>
    <x:xf numFmtId="0" fontId="10" fillId="0" borderId="19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vertical="top" wrapText="1"/>
    </x:xf>
    <x:xf numFmtId="0" fontId="10" fillId="0" borderId="19" xfId="0" applyNumberFormat="1" applyFont="1" applyFill="1" applyBorder="1" applyAlignment="1">
      <x:alignment vertical="top" wrapText="1"/>
    </x:xf>
    <x:xf numFmtId="200" fontId="10" fillId="0" borderId="1" xfId="0" applyNumberFormat="1" applyFont="1" applyFill="1" applyBorder="1" applyAlignment="1">
      <x:alignment vertical="top" wrapText="1"/>
    </x:xf>
    <x:xf numFmtId="200" fontId="10" fillId="0" borderId="19" xfId="0" applyNumberFormat="1" applyFont="1" applyFill="1" applyBorder="1" applyAlignment="1">
      <x:alignment vertical="top" wrapText="1"/>
    </x:xf>
    <x:xf numFmtId="0" fontId="11" fillId="4" borderId="0" xfId="0" applyNumberFormat="1" applyFont="1" applyFill="1" applyBorder="1"/>
    <x:xf numFmtId="0" fontId="11" fillId="4" borderId="1" xfId="0" applyNumberFormat="1" applyFont="1" applyFill="1" applyBorder="1"/>
    <x:xf numFmtId="0" fontId="11" fillId="4" borderId="19" xfId="0" applyNumberFormat="1" applyFont="1" applyFill="1" applyBorder="1"/>
    <x:xf numFmtId="0" fontId="11" fillId="4" borderId="1" xfId="0" applyNumberFormat="1" applyFont="1" applyFill="1" applyBorder="1" applyAlignment="1">
      <x:alignment wrapText="1"/>
    </x:xf>
    <x:xf numFmtId="0" fontId="11" fillId="4" borderId="19" xfId="0" applyNumberFormat="1" applyFont="1" applyFill="1" applyBorder="1" applyAlignment="1">
      <x:alignment wrapText="1"/>
    </x:xf>
    <x:xf numFmtId="0" fontId="11" fillId="4" borderId="1" xfId="0" applyNumberFormat="1" applyFont="1" applyFill="1" applyBorder="1" applyAlignment="1">
      <x:alignment vertical="top" wrapText="1"/>
    </x:xf>
    <x:xf numFmtId="0" fontId="11" fillId="4" borderId="19" xfId="0" applyNumberFormat="1" applyFont="1" applyFill="1" applyBorder="1" applyAlignment="1">
      <x:alignment vertical="top" wrapText="1"/>
    </x:xf>
  </x:cellXfs>
  <x:cellStyles count="1">
    <x:cellStyle name="Normal" xfId="0"/>
  </x:cellStyles>
  <x:dxfs count="18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8fba34ef574ed5" /><Relationship Type="http://schemas.openxmlformats.org/officeDocument/2006/relationships/theme" Target="/xl/theme/theme1.xml" Id="R79e7286380b94eb6" /><Relationship Type="http://schemas.openxmlformats.org/officeDocument/2006/relationships/sharedStrings" Target="/xl/sharedStrings.xml" Id="R30054c7e30f54e38" /><Relationship Type="http://schemas.openxmlformats.org/officeDocument/2006/relationships/worksheet" Target="/xl/worksheets/sheet1.xml" Id="R3a3ae328b2774c03" /><Relationship Type="http://schemas.openxmlformats.org/officeDocument/2006/relationships/worksheet" Target="/xl/worksheets/sheet2.xml" Id="R4667dfd1727843ca" /><Relationship Type="http://schemas.openxmlformats.org/officeDocument/2006/relationships/worksheet" Target="/xl/worksheets/sheet3.xml" Id="R6dfb661d69434dc1" /><Relationship Type="http://schemas.openxmlformats.org/officeDocument/2006/relationships/worksheet" Target="/xl/worksheets/sheet4.xml" Id="R84a93a4b6fad4dfb" /><Relationship Type="http://schemas.openxmlformats.org/officeDocument/2006/relationships/worksheet" Target="/xl/worksheets/sheet5.xml" Id="R59d42799fb824c3a" /><Relationship Type="http://schemas.openxmlformats.org/officeDocument/2006/relationships/worksheet" Target="/xl/worksheets/sheet6.xml" Id="R2f09b2bee4e84093" /><Relationship Type="http://schemas.microsoft.com/office/2017/10/relationships/person" Target="/xl/persons/person.xml" Id="Rb57ee25bd29243e1" /></Relationships>
</file>

<file path=xl/persons/person.xml><?xml version="1.0" encoding="utf-8"?>
<xltc:personList xmlns:xltc="http://schemas.microsoft.com/office/spreadsheetml/2018/threadedcomments">
  <xltc:person displayName="David Rifkind" id="{4E21112E-1391-4D30-911B-71BD607FCC45}"/>
</xltc:personList>
</file>

<file path=xl/tables/table1.xml><?xml version="1.0" encoding="utf-8"?>
<x:table xmlns:x="http://schemas.openxmlformats.org/spreadsheetml/2006/main" id="3" name="WorkstreamMapTable" displayName="WorkstreamMapTable" ref="A4:C8" headerRowCount="1" totalsRowCount="0" totalsRowShown="0">
  <x:tableColumns count="3">
    <x:tableColumn id="1" name="Workstream"/>
    <x:tableColumn id="2" name="Deliverables"/>
    <x:tableColumn id="3" name="Measu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DeliverablesTable" displayName="DeliverablesTable" ref="A4:K8" headerRowCount="1" totalsRowCount="0" totalsRowShown="0">
  <x:tableColumns count="11">
    <x:tableColumn id="1" name="ID"/>
    <x:tableColumn id="2" name="Deliverable"/>
    <x:tableColumn id="3" name="Intended outcome"/>
    <x:tableColumn id="4" name="Workstream"/>
    <x:tableColumn id="5" name="Owner"/>
    <x:tableColumn id="6" name="Milestone / due date"/>
    <x:tableColumn id="7" name="Acceptance criteria"/>
    <x:tableColumn id="8" name="Status"/>
    <x:tableColumn id="9" name="Source"/>
    <x:tableColumn id="10" name="Evidence state"/>
    <x:tableColumn id="11" name="Conf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WorkstreamsTable" displayName="WorkstreamsTable" ref="A4:N8" headerRowCount="1" totalsRowCount="0" totalsRowShown="0">
  <x:tableColumns count="14">
    <x:tableColumn id="1" name="Workstream"/>
    <x:tableColumn id="2" name="Objective / outcome"/>
    <x:tableColumn id="3" name="Lead"/>
    <x:tableColumn id="4" name="Deliverables"/>
    <x:tableColumn id="5" name="Milestones"/>
    <x:tableColumn id="6" name="Measure type"/>
    <x:tableColumn id="7" name="Measurement / key result"/>
    <x:tableColumn id="8" name="Baseline"/>
    <x:tableColumn id="9" name="Target"/>
    <x:tableColumn id="10" name="Current"/>
    <x:tableColumn id="11" name="Dependencies"/>
    <x:tableColumn id="12" name="Source"/>
    <x:tableColumn id="13" name="Evidence state"/>
    <x:tableColumn id="14" name="Conf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aidTable" displayName="RaidTable" ref="A4:N9" headerRowCount="1" totalsRowCount="0" totalsRowShown="0">
  <x:tableColumns count="14">
    <x:tableColumn id="1" name="ID"/>
    <x:tableColumn id="2" name="Type"/>
    <x:tableColumn id="3" name="Description"/>
    <x:tableColumn id="4" name="Workstream"/>
    <x:tableColumn id="5" name="Owner"/>
    <x:tableColumn id="6" name="Probability"/>
    <x:tableColumn id="7" name="Impact"/>
    <x:tableColumn id="8" name="Priority"/>
    <x:tableColumn id="9" name="Mitigation / action"/>
    <x:tableColumn id="10" name="Due date"/>
    <x:tableColumn id="11" name="Status"/>
    <x:tableColumn id="12" name="Source"/>
    <x:tableColumn id="13" name="Evidence state"/>
    <x:tableColumn id="14" name="Confid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InventoryTable" displayName="SourceInventoryTable" ref="A4:G8" headerRowCount="1" totalsRowCount="0" totalsRowShown="0">
  <x:tableColumns count="7">
    <x:tableColumn id="1" name="Source"/>
    <x:tableColumn id="2" name="Source date"/>
    <x:tableColumn id="3" name="Apparent purpose"/>
    <x:tableColumn id="4" name="Apparent authority"/>
    <x:tableColumn id="5" name="Freshness"/>
    <x:tableColumn id="6" name="Relevant content"/>
    <x:tableColumn id="7" name="Limitatio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riticalGapsTable" displayName="CriticalGapsTable" ref="A12:H16" headerRowCount="1" totalsRowCount="0" totalsRowShown="0">
  <x:tableColumns count="8">
    <x:tableColumn id="1" name="Gap ID"/>
    <x:tableColumn id="2" name="Gap or conflict"/>
    <x:tableColumn id="3" name="Why it matters"/>
    <x:tableColumn id="4" name="Impacted workstream"/>
    <x:tableColumn id="5" name="Priority"/>
    <x:tableColumn id="6" name="Recommended resolver"/>
    <x:tableColumn id="7" name="Status"/>
    <x:tableColumn id="8" name="Related sourc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7b564a74e944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d419cb096949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f5f82b7d2e45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8844cc0a6e49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5ec35fadfb4bbf" /><Relationship Type="http://schemas.openxmlformats.org/officeDocument/2006/relationships/table" Target="/xl/tables/table6.xml" Id="Rbd0c79a1e03445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34" customHeight="1">
      <x:c r="A1" s="3" t="str">
        <x:v>PROJECT INITIATION DOCUMENT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Fictional sample generated from an incomplete and conflicting Atlas program handoff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>
      <x:c r="A4" s="10" t="str">
        <x:v>Program name</x:v>
      </x:c>
      <x:c r="B4" s="10"/>
      <x:c r="C4" s="12" t="str">
        <x:v>Atlas Developer Platform</x:v>
      </x:c>
      <x:c r="D4" s="12"/>
      <x:c r="E4" s="12"/>
      <x:c r="F4" s="12"/>
      <x:c r="G4" s="12"/>
      <x:c r="H4" s="12"/>
      <x:c r="I4" s="12"/>
      <x:c r="J4" s="12"/>
      <x:c r="K4" s="12"/>
    </x:row>
    <x:row r="5">
      <x:c r="A5" s="10" t="str">
        <x:v>Version</x:v>
      </x:c>
      <x:c r="B5" s="10"/>
      <x:c r="C5" s="12" t="str">
        <x:v>0.1</x:v>
      </x:c>
      <x:c r="D5" s="12"/>
      <x:c r="E5" s="12"/>
      <x:c r="F5" s="12"/>
      <x:c r="G5" s="12"/>
      <x:c r="H5" s="12"/>
      <x:c r="I5" s="12"/>
      <x:c r="J5" s="12"/>
      <x:c r="K5" s="12"/>
    </x:row>
    <x:row r="6">
      <x:c r="A6" s="10" t="str">
        <x:v>Date created</x:v>
      </x:c>
      <x:c r="B6" s="10"/>
      <x:c r="C6" s="13" t="n">
        <x:v>46216</x:v>
      </x:c>
      <x:c r="D6" s="12"/>
      <x:c r="E6" s="12"/>
      <x:c r="F6" s="12"/>
      <x:c r="G6" s="12"/>
      <x:c r="H6" s="12"/>
      <x:c r="I6" s="12"/>
      <x:c r="J6" s="12"/>
      <x:c r="K6" s="12"/>
    </x:row>
    <x:row r="7">
      <x:c r="A7" s="10" t="str">
        <x:v>Evidence cutoff</x:v>
      </x:c>
      <x:c r="B7" s="10"/>
      <x:c r="C7" s="13" t="n">
        <x:v>46213</x:v>
      </x:c>
      <x:c r="D7" s="12"/>
      <x:c r="E7" s="12"/>
      <x:c r="F7" s="12"/>
      <x:c r="G7" s="12"/>
      <x:c r="H7" s="12"/>
      <x:c r="I7" s="12"/>
      <x:c r="J7" s="12"/>
      <x:c r="K7" s="12"/>
    </x:row>
    <x:row r="8">
      <x:c r="A8" s="10" t="str">
        <x:v>Prepared by</x:v>
      </x:c>
      <x:c r="B8" s="10"/>
      <x:c r="C8" s="12" t="str">
        <x:v>TPM-OS Program Bootstrap (sample)</x:v>
      </x:c>
      <x:c r="D8" s="12"/>
      <x:c r="E8" s="12"/>
      <x:c r="F8" s="12"/>
      <x:c r="G8" s="12"/>
      <x:c r="H8" s="12"/>
      <x:c r="I8" s="12"/>
      <x:c r="J8" s="12"/>
      <x:c r="K8" s="12"/>
    </x:row>
    <x:row r="9">
      <x:c r="A9" s="10" t="str">
        <x:v>Status</x:v>
      </x:c>
      <x:c r="B9" s="10"/>
      <x:c r="C9" s="12" t="str">
        <x:v>Draft</x:v>
      </x:c>
      <x:c r="D9" s="12"/>
      <x:c r="E9" s="12"/>
      <x:c r="F9" s="12"/>
      <x:c r="G9" s="12"/>
      <x:c r="H9" s="12"/>
      <x:c r="I9" s="12"/>
      <x:c r="J9" s="12"/>
      <x:c r="K9" s="12"/>
    </x:row>
    <x:row r="10">
      <x:c r="A10" s="10" t="str">
        <x:v>Overall confidence</x:v>
      </x:c>
      <x:c r="B10" s="10"/>
      <x:c r="C10" s="12" t="str">
        <x:v>Medium</x:v>
      </x:c>
      <x:c r="D10" s="12"/>
      <x:c r="E10" s="12"/>
      <x:c r="F10" s="12"/>
      <x:c r="G10" s="12"/>
      <x:c r="H10" s="12"/>
      <x:c r="I10" s="12"/>
      <x:c r="J10" s="12"/>
      <x:c r="K10" s="12"/>
    </x:row>
    <x:row r="12">
      <x:c r="A12" s="16" t="str">
        <x:v>INITIATION RECOMMENDATION — READY WITH STATED ASSUMPTIONS</x:v>
      </x:c>
      <x:c r="B12" s="17"/>
      <x:c r="C12" s="17"/>
      <x:c r="D12" s="17"/>
      <x:c r="E12" s="17"/>
      <x:c r="F12" s="17"/>
      <x:c r="G12" s="17"/>
      <x:c r="H12" s="17"/>
      <x:c r="I12" s="17"/>
      <x:c r="J12" s="17"/>
      <x:c r="K12" s="18"/>
    </x:row>
    <x:row r="13">
      <x:c r="A13" s="33" t="str">
        <x:v>Atlas can begin structured initiation work, but the definition of “launch,” ownership of the security review, and the authority of the October 30 GA date require sponsor decisions before a committed delivery baseline is approved.</x:v>
      </x:c>
      <x:c r="B13" s="34"/>
      <x:c r="C13" s="34"/>
      <x:c r="D13" s="34"/>
      <x:c r="E13" s="34"/>
      <x:c r="F13" s="34"/>
      <x:c r="G13" s="34"/>
      <x:c r="H13" s="34"/>
      <x:c r="I13" s="34"/>
      <x:c r="J13" s="34"/>
      <x:c r="K13" s="35"/>
    </x:row>
    <x:row r="14">
      <x:c r="A14" s="36"/>
      <x:c r="B14" s="37"/>
      <x:c r="C14" s="37"/>
      <x:c r="D14" s="37"/>
      <x:c r="E14" s="37"/>
      <x:c r="F14" s="37"/>
      <x:c r="G14" s="37"/>
      <x:c r="H14" s="37"/>
      <x:c r="I14" s="37"/>
      <x:c r="J14" s="37"/>
      <x:c r="K14" s="38"/>
    </x:row>
    <x:row r="16">
      <x:c r="A16" s="39" t="str">
        <x:v>PROGRAM SNAPSHOT</x:v>
      </x:c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</x:row>
    <x:row r="17">
      <x:c r="A17" s="41" t="str">
        <x:v>Deliverables</x:v>
      </x:c>
      <x:c r="B17" s="41"/>
      <x:c r="D17" s="41" t="str">
        <x:v>Workstreams</x:v>
      </x:c>
      <x:c r="E17" s="41"/>
      <x:c r="G17" s="41" t="str">
        <x:v>RAID items</x:v>
      </x:c>
      <x:c r="H17" s="41"/>
      <x:c r="J17" s="41" t="str">
        <x:v>Critical gaps</x:v>
      </x:c>
      <x:c r="K17" s="41"/>
    </x:row>
    <x:row r="18">
      <x:c r="A18" s="52" t="n">
        <x:f>COUNTA('03 Deliverables'!A5:A100)</x:f>
        <x:v>4</x:v>
      </x:c>
      <x:c r="B18" s="53"/>
      <x:c r="D18" s="52" t="n">
        <x:f>COUNTA('04 Workstreams &amp; Measures'!A5:A100)</x:f>
        <x:v>4</x:v>
      </x:c>
      <x:c r="E18" s="53"/>
      <x:c r="G18" s="52" t="n">
        <x:f>COUNTA('05 RAID'!A5:A100)</x:f>
        <x:v>5</x:v>
      </x:c>
      <x:c r="H18" s="53"/>
      <x:c r="J18" s="52" t="n">
        <x:f>COUNTIF('06 Evidence &amp; Gaps'!E13:E40,"Critical")</x:f>
        <x:v>2</x:v>
      </x:c>
      <x:c r="K18" s="53"/>
    </x:row>
    <x:row r="19">
      <x:c r="A19" s="54"/>
      <x:c r="B19" s="55"/>
      <x:c r="D19" s="54"/>
      <x:c r="E19" s="55"/>
      <x:c r="G19" s="54"/>
      <x:c r="H19" s="55"/>
      <x:c r="J19" s="54"/>
      <x:c r="K19" s="55"/>
    </x:row>
    <x:row r="21">
      <x:c r="A21" s="57" t="str">
        <x:v>BACKGROUND AND RATIONALE</x:v>
      </x:c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</x:row>
    <x:row r="22" ht="30" customHeight="1">
      <x:c r="A22" s="60" t="str">
        <x:v>The organization intends to create a common developer platform that reduces delivery friction across product teams. Current tooling is fragmented, security controls are applied inconsistently, and leadership expects a Q4 launch. The supplied sources do not agree on whether launch means internal beta or general availability.</x:v>
      </x:c>
      <x:c r="B22" s="60"/>
      <x:c r="C22" s="60"/>
      <x:c r="D22" s="60"/>
      <x:c r="E22" s="60"/>
      <x:c r="F22" s="60"/>
      <x:c r="G22" s="60"/>
      <x:c r="H22" s="60"/>
      <x:c r="I22" s="60"/>
      <x:c r="J22" s="60"/>
      <x:c r="K22" s="60"/>
    </x:row>
    <x:row r="23" ht="30" customHeight="1">
      <x:c r="A23" s="60"/>
      <x:c r="B23" s="60"/>
      <x:c r="C23" s="60"/>
      <x:c r="D23" s="60"/>
      <x:c r="E23" s="60"/>
      <x:c r="F23" s="60"/>
      <x:c r="G23" s="60"/>
      <x:c r="H23" s="60"/>
      <x:c r="I23" s="60"/>
      <x:c r="J23" s="60"/>
      <x:c r="K23" s="60"/>
    </x:row>
    <x:row r="25">
      <x:c r="A25" s="57" t="str">
        <x:v>MANDATE</x:v>
      </x:c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</x:row>
    <x:row r="26" ht="30" customHeight="1">
      <x:c r="A26" s="60" t="str">
        <x:v>Establish and launch a reusable developer platform that improves build performance, standardizes security controls, and enables target teams to migrate with measurable operational benefit. Evidence state: Reported. Source: Atlas Strategy Deck, slides 3–6.</x:v>
      </x:c>
      <x:c r="B26" s="60"/>
      <x:c r="C26" s="60"/>
      <x:c r="D26" s="60"/>
      <x:c r="E26" s="60"/>
      <x:c r="F26" s="60"/>
      <x:c r="G26" s="60"/>
      <x:c r="H26" s="60"/>
      <x:c r="I26" s="60"/>
      <x:c r="J26" s="60"/>
      <x:c r="K26" s="60"/>
    </x:row>
    <x:row r="27" ht="30" customHeight="1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  <x:c r="K27" s="60"/>
    </x:row>
    <x:row r="29">
      <x:c r="A29" s="57" t="str">
        <x:v>INTENDED OUTCOMES AND SUCCESS</x:v>
      </x:c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</x:row>
    <x:row r="30" ht="30" customHeight="1">
      <x:c r="A30" s="60" t="str">
        <x:v>Expected outcomes include faster build completion, three successful pilot teams, standardized security review, and broad target-team adoption. One existing key result calls for 8 of 10 target teams onboarded by 2026-12-15; its relationship to the disputed GA date requires confirmation.</x:v>
      </x:c>
      <x:c r="B30" s="60"/>
      <x:c r="C30" s="60"/>
      <x:c r="D30" s="60"/>
      <x:c r="E30" s="60"/>
      <x:c r="F30" s="60"/>
      <x:c r="G30" s="60"/>
      <x:c r="H30" s="60"/>
      <x:c r="I30" s="60"/>
      <x:c r="J30" s="60"/>
      <x:c r="K30" s="60"/>
    </x:row>
    <x:row r="31" ht="30" customHeight="1">
      <x:c r="A31" s="60"/>
      <x:c r="B31" s="60"/>
      <x:c r="C31" s="60"/>
      <x:c r="D31" s="60"/>
      <x:c r="E31" s="60"/>
      <x:c r="F31" s="60"/>
      <x:c r="G31" s="60"/>
      <x:c r="H31" s="60"/>
      <x:c r="I31" s="60"/>
      <x:c r="J31" s="60"/>
      <x:c r="K31" s="60"/>
    </x:row>
    <x:row r="33">
      <x:c r="A33" s="57" t="str">
        <x:v>SCOPE AND CONSTRAINTS</x:v>
      </x:c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</x:row>
    <x:row r="34" ht="30" customHeight="1">
      <x:c r="A34" s="60" t="str">
        <x:v>In scope: platform core, identity integration, security review, pilot onboarding, migration guidance, and launch readiness. Out of scope: Unknown. Constraints include shared security capacity and dependence on the Identity Service v2 API. The definition of launch remains unresolved.</x:v>
      </x:c>
      <x:c r="B34" s="60"/>
      <x:c r="C34" s="60"/>
      <x:c r="D34" s="60"/>
      <x:c r="E34" s="60"/>
      <x:c r="F34" s="60"/>
      <x:c r="G34" s="60"/>
      <x:c r="H34" s="60"/>
      <x:c r="I34" s="60"/>
      <x:c r="J34" s="60"/>
      <x:c r="K34" s="60"/>
    </x:row>
    <x:row r="35" ht="30" customHeight="1">
      <x:c r="A35" s="60"/>
      <x:c r="B35" s="60"/>
      <x:c r="C35" s="60"/>
      <x:c r="D35" s="60"/>
      <x:c r="E35" s="60"/>
      <x:c r="F35" s="60"/>
      <x:c r="G35" s="60"/>
      <x:c r="H35" s="60"/>
      <x:c r="I35" s="60"/>
      <x:c r="J35" s="60"/>
      <x:c r="K35" s="60"/>
    </x:row>
    <x:row r="37">
      <x:c r="A37" s="57" t="str">
        <x:v>OUTPUTS AND DELIVERABLES</x:v>
      </x:c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</x:row>
    <x:row r="38" ht="30" customHeight="1">
      <x:c r="A38" s="60" t="str">
        <x:v>Four preliminary deliverables were extracted: internal beta, security review, migration playbook, and GA release. See 02 Workstream Map for the compact relationship view and 03 Deliverables for ownership, dates, acceptance criteria, evidence state, and confidence.</x:v>
      </x:c>
      <x:c r="B38" s="60"/>
      <x:c r="C38" s="60"/>
      <x:c r="D38" s="60"/>
      <x:c r="E38" s="60"/>
      <x:c r="F38" s="60"/>
      <x:c r="G38" s="60"/>
      <x:c r="H38" s="60"/>
      <x:c r="I38" s="60"/>
      <x:c r="J38" s="60"/>
      <x:c r="K38" s="60"/>
    </x:row>
    <x:row r="39" ht="30" customHeight="1">
      <x:c r="A39" s="60"/>
      <x:c r="B39" s="60"/>
      <x:c r="C39" s="60"/>
      <x:c r="D39" s="60"/>
      <x:c r="E39" s="60"/>
      <x:c r="F39" s="60"/>
      <x:c r="G39" s="60"/>
      <x:c r="H39" s="60"/>
      <x:c r="I39" s="60"/>
      <x:c r="J39" s="60"/>
      <x:c r="K39" s="60"/>
    </x:row>
    <x:row r="41">
      <x:c r="A41" s="57" t="str">
        <x:v>WORKSTREAMS AND EXECUTION APPROACH</x:v>
      </x:c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</x:row>
    <x:row r="42" ht="30" customHeight="1">
      <x:c r="A42" s="60" t="str">
        <x:v>Four preliminary workstreams were identified: Platform Core, Security &amp; Compliance, Adoption &amp; Migration, and Launch Readiness. See 02 Workstream Map for the PID summary and 04 Workstreams &amp; Measures for supporting detail.</x:v>
      </x:c>
      <x:c r="B42" s="60"/>
      <x:c r="C42" s="60"/>
      <x:c r="D42" s="60"/>
      <x:c r="E42" s="60"/>
      <x:c r="F42" s="60"/>
      <x:c r="G42" s="60"/>
      <x:c r="H42" s="60"/>
      <x:c r="I42" s="60"/>
      <x:c r="J42" s="60"/>
      <x:c r="K42" s="60"/>
    </x:row>
    <x:row r="43" ht="30" customHeight="1">
      <x:c r="A43" s="60"/>
      <x:c r="B43" s="60"/>
      <x:c r="C43" s="60"/>
      <x:c r="D43" s="60"/>
      <x:c r="E43" s="60"/>
      <x:c r="F43" s="60"/>
      <x:c r="G43" s="60"/>
      <x:c r="H43" s="60"/>
      <x:c r="I43" s="60"/>
      <x:c r="J43" s="60"/>
      <x:c r="K43" s="60"/>
    </x:row>
    <x:row r="45">
      <x:c r="A45" s="57" t="str">
        <x:v>MILESTONES AND TIMELINE</x:v>
      </x:c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</x:row>
    <x:row r="46" ht="30" customHeight="1">
      <x:c r="A46" s="60" t="str">
        <x:v>Internal beta is reported for 2026-09-15. The roadmap lists GA on 2026-10-30, while leadership notes describe Q4 launch as an internal beta. Treat the GA date as conflicting until the sponsor resolves the launch definition.</x:v>
      </x:c>
      <x:c r="B46" s="60"/>
      <x:c r="C46" s="60"/>
      <x:c r="D46" s="60"/>
      <x:c r="E46" s="60"/>
      <x:c r="F46" s="60"/>
      <x:c r="G46" s="60"/>
      <x:c r="H46" s="60"/>
      <x:c r="I46" s="60"/>
      <x:c r="J46" s="60"/>
      <x:c r="K46" s="60"/>
    </x:row>
    <x:row r="47" ht="30" customHeight="1">
      <x:c r="A47" s="60"/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9">
      <x:c r="A49" s="57" t="str">
        <x:v>GOVERNANCE AND DECISION RIGHTS</x:v>
      </x:c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</x:row>
    <x:row r="50" ht="30" customHeight="1">
      <x:c r="A50" s="60" t="str">
        <x:v>The VP of Developer Productivity appears to be executive sponsor. The program owner and security approval owner are not established in the supplied evidence. A weekly working cadence is reported; escalation and approval paths are unknown.</x:v>
      </x:c>
      <x:c r="B50" s="60"/>
      <x:c r="C50" s="60"/>
      <x:c r="D50" s="60"/>
      <x:c r="E50" s="60"/>
      <x:c r="F50" s="60"/>
      <x:c r="G50" s="60"/>
      <x:c r="H50" s="60"/>
      <x:c r="I50" s="60"/>
      <x:c r="J50" s="60"/>
      <x:c r="K50" s="60"/>
    </x:row>
    <x:row r="51" ht="30" customHeight="1">
      <x:c r="A51" s="60"/>
      <x:c r="B51" s="60"/>
      <x:c r="C51" s="60"/>
      <x:c r="D51" s="60"/>
      <x:c r="E51" s="60"/>
      <x:c r="F51" s="60"/>
      <x:c r="G51" s="60"/>
      <x:c r="H51" s="60"/>
      <x:c r="I51" s="60"/>
      <x:c r="J51" s="60"/>
      <x:c r="K51" s="60"/>
    </x:row>
    <x:row r="53">
      <x:c r="A53" s="57" t="str">
        <x:v>MEASURES OF SUCCESS</x:v>
      </x:c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</x:row>
    <x:row r="54" ht="30" customHeight="1">
      <x:c r="A54" s="60" t="str">
        <x:v>Available measures include p95 build completion time, pilot-team count, and target-team adoption. Security success measures are not defined. Program Bootstrap has preserved existing measures and has not generated new OKRs.</x:v>
      </x:c>
      <x:c r="B54" s="60"/>
      <x:c r="C54" s="60"/>
      <x:c r="D54" s="60"/>
      <x:c r="E54" s="60"/>
      <x:c r="F54" s="60"/>
      <x:c r="G54" s="60"/>
      <x:c r="H54" s="60"/>
      <x:c r="I54" s="60"/>
      <x:c r="J54" s="60"/>
      <x:c r="K54" s="60"/>
    </x:row>
    <x:row r="55" ht="30" customHeight="1">
      <x:c r="A55" s="60"/>
      <x:c r="B55" s="60"/>
      <x:c r="C55" s="60"/>
      <x:c r="D55" s="60"/>
      <x:c r="E55" s="60"/>
      <x:c r="F55" s="60"/>
      <x:c r="G55" s="60"/>
      <x:c r="H55" s="60"/>
      <x:c r="I55" s="60"/>
      <x:c r="J55" s="60"/>
      <x:c r="K55" s="60"/>
    </x:row>
    <x:row r="57">
      <x:c r="A57" s="57" t="str">
        <x:v>PROGRAM CONTROLS</x:v>
      </x:c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</x:row>
    <x:row r="58" ht="30" customHeight="1">
      <x:c r="A58" s="60" t="str">
        <x:v>The most material controls are the unresolved launch definition, security-review ownership, Identity Service v2 dependency, and the assumption that pilot teams can allocate migration capacity. See 05 RAID.</x:v>
      </x:c>
      <x:c r="B58" s="60"/>
      <x:c r="C58" s="60"/>
      <x:c r="D58" s="60"/>
      <x:c r="E58" s="60"/>
      <x:c r="F58" s="60"/>
      <x:c r="G58" s="60"/>
      <x:c r="H58" s="60"/>
      <x:c r="I58" s="60"/>
      <x:c r="J58" s="60"/>
      <x:c r="K58" s="60"/>
    </x:row>
    <x:row r="59" ht="30" customHeight="1">
      <x:c r="A59" s="60"/>
      <x:c r="B59" s="60"/>
      <x:c r="C59" s="60"/>
      <x:c r="D59" s="60"/>
      <x:c r="E59" s="60"/>
      <x:c r="F59" s="60"/>
      <x:c r="G59" s="60"/>
      <x:c r="H59" s="60"/>
      <x:c r="I59" s="60"/>
      <x:c r="J59" s="60"/>
      <x:c r="K59" s="60"/>
    </x:row>
    <x:row r="61">
      <x:c r="A61" s="57" t="str">
        <x:v>OPEN DECISIONS AND CRITICAL GAPS</x:v>
      </x:c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</x:row>
    <x:row r="62" ht="30" customHeight="1">
      <x:c r="A62" s="60" t="str">
        <x:v>Leadership must define launch, confirm whether October 30 is a committed GA date, name the security approval owner, establish out-of-scope boundaries, and approve success measures. See 06 Evidence &amp; Gaps.</x:v>
      </x:c>
      <x:c r="B62" s="60"/>
      <x:c r="C62" s="60"/>
      <x:c r="D62" s="60"/>
      <x:c r="E62" s="60"/>
      <x:c r="F62" s="60"/>
      <x:c r="G62" s="60"/>
      <x:c r="H62" s="60"/>
      <x:c r="I62" s="60"/>
      <x:c r="J62" s="60"/>
      <x:c r="K62" s="60"/>
    </x:row>
    <x:row r="63" ht="30" customHeight="1">
      <x:c r="A63" s="60"/>
      <x:c r="B63" s="60"/>
      <x:c r="C63" s="60"/>
      <x:c r="D63" s="60"/>
      <x:c r="E63" s="60"/>
      <x:c r="F63" s="60"/>
      <x:c r="G63" s="60"/>
      <x:c r="H63" s="60"/>
      <x:c r="I63" s="60"/>
      <x:c r="J63" s="60"/>
      <x:c r="K63" s="60"/>
    </x:row>
    <x:row r="65">
      <x:c r="A65" s="57" t="str">
        <x:v>RECOMMENDED FIRST ACTIONS</x:v>
      </x:c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</x:row>
    <x:row r="66" ht="30" customHeight="1">
      <x:c r="A66" s="60" t="str">
        <x:v>1. Obtain sponsor decision on the definition of launch.
2. Name the security-review accountable owner and decision date.
3. Validate the October 30 date against platform and security capacity.
4. Confirm explicit out-of-scope boundaries.
5. Route missing success measures to OKR Builder.</x:v>
      </x:c>
      <x:c r="B66" s="60"/>
      <x:c r="C66" s="60"/>
      <x:c r="D66" s="60"/>
      <x:c r="E66" s="60"/>
      <x:c r="F66" s="60"/>
      <x:c r="G66" s="60"/>
      <x:c r="H66" s="60"/>
      <x:c r="I66" s="60"/>
      <x:c r="J66" s="60"/>
      <x:c r="K66" s="60"/>
    </x:row>
    <x:row r="67" ht="30" customHeight="1">
      <x:c r="A67" s="60"/>
      <x:c r="B67" s="60"/>
      <x:c r="C67" s="60"/>
      <x:c r="D67" s="60"/>
      <x:c r="E67" s="60"/>
      <x:c r="F67" s="60"/>
      <x:c r="G67" s="60"/>
      <x:c r="H67" s="60"/>
      <x:c r="I67" s="60"/>
      <x:c r="J67" s="60"/>
      <x:c r="K67" s="60"/>
    </x:row>
    <x:row r="69">
      <x:c r="A69" s="57" t="str">
        <x:v>APPROVAL</x:v>
      </x:c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</x:row>
    <x:row r="70" ht="30" customHeight="1">
      <x:c r="A70" s="60" t="str">
        <x:v>Prepared by: TPM-OS Program Bootstrap (sample)
Reviewed by: 
Approved by: 
Approval date: 
Conditions of approval: </x:v>
      </x:c>
      <x:c r="B70" s="60"/>
      <x:c r="C70" s="60"/>
      <x:c r="D70" s="60"/>
      <x:c r="E70" s="60"/>
      <x:c r="F70" s="60"/>
      <x:c r="G70" s="60"/>
      <x:c r="H70" s="60"/>
      <x:c r="I70" s="60"/>
      <x:c r="J70" s="60"/>
      <x:c r="K70" s="60"/>
    </x:row>
    <x:row r="71" ht="30" customHeight="1">
      <x:c r="A71" s="60"/>
      <x:c r="B71" s="60"/>
      <x:c r="C71" s="60"/>
      <x:c r="D71" s="60"/>
      <x:c r="E71" s="60"/>
      <x:c r="F71" s="60"/>
      <x:c r="G71" s="60"/>
      <x:c r="H71" s="60"/>
      <x:c r="I71" s="60"/>
      <x:c r="J71" s="60"/>
      <x:c r="K71" s="60"/>
    </x:row>
  </x:sheetData>
  <x:mergeCells>
    <x:mergeCell ref="A1:K1"/>
    <x:mergeCell ref="A2:K2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2:K12"/>
    <x:mergeCell ref="A13:K14"/>
    <x:mergeCell ref="A16:K16"/>
    <x:mergeCell ref="A17:B17"/>
    <x:mergeCell ref="A18:B19"/>
    <x:mergeCell ref="D17:E17"/>
    <x:mergeCell ref="D18:E19"/>
    <x:mergeCell ref="G17:H17"/>
    <x:mergeCell ref="G18:H19"/>
    <x:mergeCell ref="J17:K17"/>
    <x:mergeCell ref="J18:K19"/>
    <x:mergeCell ref="A21:K21"/>
    <x:mergeCell ref="A22:K23"/>
    <x:mergeCell ref="A25:K25"/>
    <x:mergeCell ref="A26:K27"/>
    <x:mergeCell ref="A29:K29"/>
    <x:mergeCell ref="A30:K31"/>
    <x:mergeCell ref="A33:K33"/>
    <x:mergeCell ref="A34:K35"/>
    <x:mergeCell ref="A37:K37"/>
    <x:mergeCell ref="A38:K39"/>
    <x:mergeCell ref="A41:K41"/>
    <x:mergeCell ref="A42:K43"/>
    <x:mergeCell ref="A45:K45"/>
    <x:mergeCell ref="A46:K47"/>
    <x:mergeCell ref="A49:K49"/>
    <x:mergeCell ref="A50:K51"/>
    <x:mergeCell ref="A53:K53"/>
    <x:mergeCell ref="A54:K55"/>
    <x:mergeCell ref="A57:K57"/>
    <x:mergeCell ref="A58:K59"/>
    <x:mergeCell ref="A61:K61"/>
    <x:mergeCell ref="A62:K63"/>
    <x:mergeCell ref="A65:K65"/>
    <x:mergeCell ref="A66:K67"/>
    <x:mergeCell ref="A69:K69"/>
    <x:mergeCell ref="A70:K7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52" hidden="0" customWidth="1"/>
  </x:cols>
  <x:sheetData>
    <x:row r="1" ht="34" customHeight="1">
      <x:c r="A1" s="3" t="str">
        <x:v>WORKSTREAM / DELIVERABLE / MEASURE</x:v>
      </x:c>
      <x:c r="B1" s="3"/>
      <x:c r="C1" s="3"/>
    </x:row>
    <x:row r="2" ht="28" customHeight="1">
      <x:c r="A2" s="7" t="str">
        <x:v>The core program relationship in one scan-friendly table</x:v>
      </x:c>
      <x:c r="B2" s="7"/>
      <x:c r="C2" s="7"/>
    </x:row>
    <x:row r="4" ht="30" customHeight="1">
      <x:c r="A4" s="69" t="str">
        <x:v>Workstream</x:v>
      </x:c>
      <x:c r="B4" s="70" t="str">
        <x:v>Deliverables</x:v>
      </x:c>
      <x:c r="C4" s="71" t="str">
        <x:v>Measure</x:v>
      </x:c>
    </x:row>
    <x:row r="5" ht="48" customHeight="1">
      <x:c r="A5" s="76" t="str">
        <x:f>'04 Workstreams &amp; Measures'!A5</x:f>
        <x:v>Platform Core</x:v>
      </x:c>
      <x:c r="B5" s="76" t="str">
        <x:f>'04 Workstreams &amp; Measures'!D5</x:f>
        <x:v>DEL-001 — Internal beta</x:v>
      </x:c>
      <x:c r="C5" s="76" t="str">
        <x:f>'04 Workstreams &amp; Measures'!G5</x:f>
        <x:v>p95 build completion time (minutes)</x:v>
      </x:c>
    </x:row>
    <x:row r="6" ht="48" customHeight="1">
      <x:c r="A6" s="77" t="str">
        <x:f>'04 Workstreams &amp; Measures'!A6</x:f>
        <x:v>Security &amp; Compliance</x:v>
      </x:c>
      <x:c r="B6" s="77" t="str">
        <x:f>'04 Workstreams &amp; Measures'!D6</x:f>
        <x:v>DEL-002 — Security review</x:v>
      </x:c>
      <x:c r="C6" s="77" t="str">
        <x:f>'04 Workstreams &amp; Measures'!G6</x:f>
        <x:v>Not defined</x:v>
      </x:c>
    </x:row>
    <x:row r="7" ht="48" customHeight="1">
      <x:c r="A7" s="77" t="str">
        <x:f>'04 Workstreams &amp; Measures'!A7</x:f>
        <x:v>Adoption &amp; Migration</x:v>
      </x:c>
      <x:c r="B7" s="77" t="str">
        <x:f>'04 Workstreams &amp; Measures'!D7</x:f>
        <x:v>DEL-004 — Migration playbook</x:v>
      </x:c>
      <x:c r="C7" s="77" t="str">
        <x:f>'04 Workstreams &amp; Measures'!G7</x:f>
        <x:v>Pilot teams onboarded</x:v>
      </x:c>
    </x:row>
    <x:row r="8" ht="48" customHeight="1">
      <x:c r="A8" s="77" t="str">
        <x:f>'04 Workstreams &amp; Measures'!A8</x:f>
        <x:v>Launch Readiness</x:v>
      </x:c>
      <x:c r="B8" s="77" t="str">
        <x:f>'04 Workstreams &amp; Measures'!D8</x:f>
        <x:v>DEL-003 — GA release</x:v>
      </x:c>
      <x:c r="C8" s="77" t="str">
        <x:f>'04 Workstreams &amp; Measures'!G8</x:f>
        <x:v>Onboard 8 of 10 target teams by 2026-12-15</x:v>
      </x:c>
    </x:row>
  </x:sheetData>
  <x:mergeCells>
    <x:mergeCell ref="A1:C1"/>
    <x:mergeCell ref="A2:C2"/>
  </x:mergeCells>
  <x:conditionalFormatting sqref="C5:C100">
    <x:cfRule type="containsText" dxfId="8" priority="1" operator="containsText" text="Not defined"/>
  </x:conditionalFormatting>
  <x:pageMargins left="0.7" right="0.7" top="0.75" bottom="0.75" header="0.3" footer="0.3"/>
  <x:tableParts count="1">
    <x:tablePart xmlns:r="http://schemas.openxmlformats.org/officeDocument/2006/relationships" r:id="Rd07b564a74e944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32" hidden="0" customWidth="1"/>
    <x:col min="4" max="4" width="22" hidden="0" customWidth="1"/>
    <x:col min="5" max="5" width="18" hidden="0" customWidth="1"/>
    <x:col min="6" max="6" width="17" hidden="0" customWidth="1"/>
    <x:col min="7" max="7" width="34" hidden="0" customWidth="1"/>
    <x:col min="8" max="8" width="15" hidden="0" customWidth="1"/>
    <x:col min="9" max="9" width="28" hidden="0" customWidth="1"/>
    <x:col min="10" max="10" width="16" hidden="0" customWidth="1"/>
    <x:col min="11" max="11" width="12" hidden="0" customWidth="1"/>
  </x:cols>
  <x:sheetData>
    <x:row r="1" ht="34" customHeight="1">
      <x:c r="A1" s="3" t="str">
        <x:v>DELIVERABLES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Extracted outputs with provenance, evidence state, and confidence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0" customHeight="1">
      <x:c r="A4" s="69" t="str">
        <x:v>ID</x:v>
      </x:c>
      <x:c r="B4" s="70" t="str">
        <x:v>Deliverable</x:v>
      </x:c>
      <x:c r="C4" s="70" t="str">
        <x:v>Intended outcome</x:v>
      </x:c>
      <x:c r="D4" s="70" t="str">
        <x:v>Workstream</x:v>
      </x:c>
      <x:c r="E4" s="70" t="str">
        <x:v>Owner</x:v>
      </x:c>
      <x:c r="F4" s="70" t="str">
        <x:v>Milestone / due date</x:v>
      </x:c>
      <x:c r="G4" s="70" t="str">
        <x:v>Acceptance criteria</x:v>
      </x:c>
      <x:c r="H4" s="70" t="str">
        <x:v>Status</x:v>
      </x:c>
      <x:c r="I4" s="70" t="str">
        <x:v>Source</x:v>
      </x:c>
      <x:c r="J4" s="70" t="str">
        <x:v>Evidence state</x:v>
      </x:c>
      <x:c r="K4" s="71" t="str">
        <x:v>Confidence</x:v>
      </x:c>
    </x:row>
    <x:row r="5" ht="48" customHeight="1">
      <x:c r="A5" s="76" t="str">
        <x:v>DEL-001</x:v>
      </x:c>
      <x:c r="B5" s="76" t="str">
        <x:v>Internal beta</x:v>
      </x:c>
      <x:c r="C5" s="76" t="str">
        <x:v>Validate platform value with three pilot teams</x:v>
      </x:c>
      <x:c r="D5" s="76" t="str">
        <x:v>Platform Core</x:v>
      </x:c>
      <x:c r="E5" s="76" t="str">
        <x:v>Alice Chen</x:v>
      </x:c>
      <x:c r="F5" s="78" t="n">
        <x:v>46280</x:v>
      </x:c>
      <x:c r="G5" s="76" t="str">
        <x:v>Three pilot teams complete supported builds</x:v>
      </x:c>
      <x:c r="H5" s="76" t="str">
        <x:v>In progress</x:v>
      </x:c>
      <x:c r="I5" s="76" t="str">
        <x:v>Atlas Roadmap, row 12</x:v>
      </x:c>
      <x:c r="J5" s="76" t="str">
        <x:v>Reported</x:v>
      </x:c>
      <x:c r="K5" s="76" t="str">
        <x:v>Medium</x:v>
      </x:c>
    </x:row>
    <x:row r="6" ht="48" customHeight="1">
      <x:c r="A6" s="77" t="str">
        <x:v>DEL-002</x:v>
      </x:c>
      <x:c r="B6" s="77" t="str">
        <x:v>Security review</x:v>
      </x:c>
      <x:c r="C6" s="77" t="str">
        <x:v>Authorize platform controls for production use</x:v>
      </x:c>
      <x:c r="D6" s="77" t="str">
        <x:v>Security &amp; Compliance</x:v>
      </x:c>
      <x:c r="E6" s="77" t="str">
        <x:v>Unknown</x:v>
      </x:c>
      <x:c r="F6" s="79" t="n">
        <x:v>46295</x:v>
      </x:c>
      <x:c r="G6" s="77" t="str">
        <x:v>Formal security approval and tracked exceptions</x:v>
      </x:c>
      <x:c r="H6" s="77" t="str">
        <x:v>Blocked</x:v>
      </x:c>
      <x:c r="I6" s="77" t="str">
        <x:v>Security Review Notes, section 2</x:v>
      </x:c>
      <x:c r="J6" s="77" t="str">
        <x:v>Reported</x:v>
      </x:c>
      <x:c r="K6" s="77" t="str">
        <x:v>Medium</x:v>
      </x:c>
    </x:row>
    <x:row r="7" ht="48" customHeight="1">
      <x:c r="A7" s="77" t="str">
        <x:v>DEL-003</x:v>
      </x:c>
      <x:c r="B7" s="77" t="str">
        <x:v>GA release</x:v>
      </x:c>
      <x:c r="C7" s="77" t="str">
        <x:v>Make the platform available to target product teams</x:v>
      </x:c>
      <x:c r="D7" s="77" t="str">
        <x:v>Launch Readiness</x:v>
      </x:c>
      <x:c r="E7" s="77" t="str">
        <x:v>Unknown</x:v>
      </x:c>
      <x:c r="F7" s="79" t="n">
        <x:v>46325</x:v>
      </x:c>
      <x:c r="G7" s="77" t="str">
        <x:v>Unknown — launch definition is unresolved</x:v>
      </x:c>
      <x:c r="H7" s="77" t="str">
        <x:v>Unknown</x:v>
      </x:c>
      <x:c r="I7" s="77" t="str">
        <x:v>Atlas Roadmap vs Leadership Notes</x:v>
      </x:c>
      <x:c r="J7" s="77" t="str">
        <x:v>Conflicting</x:v>
      </x:c>
      <x:c r="K7" s="77" t="str">
        <x:v>Low</x:v>
      </x:c>
    </x:row>
    <x:row r="8" ht="48" customHeight="1">
      <x:c r="A8" s="77" t="str">
        <x:v>DEL-004</x:v>
      </x:c>
      <x:c r="B8" s="77" t="str">
        <x:v>Migration playbook</x:v>
      </x:c>
      <x:c r="C8" s="77" t="str">
        <x:v>Enable repeatable team onboarding</x:v>
      </x:c>
      <x:c r="D8" s="77" t="str">
        <x:v>Adoption &amp; Migration</x:v>
      </x:c>
      <x:c r="E8" s="77" t="str">
        <x:v>Jordan Lee</x:v>
      </x:c>
      <x:c r="F8" s="79" t="n">
        <x:v>46305</x:v>
      </x:c>
      <x:c r="G8" s="77" t="str">
        <x:v>Pilot teams can complete migration using the playbook</x:v>
      </x:c>
      <x:c r="H8" s="77" t="str">
        <x:v>Not started</x:v>
      </x:c>
      <x:c r="I8" s="77" t="str">
        <x:v>Leadership Notes, action 6</x:v>
      </x:c>
      <x:c r="J8" s="77" t="str">
        <x:v>Reported</x:v>
      </x:c>
      <x:c r="K8" s="77" t="str">
        <x:v>Medium</x:v>
      </x:c>
    </x:row>
  </x:sheetData>
  <x:mergeCells>
    <x:mergeCell ref="A1:K1"/>
    <x:mergeCell ref="A2:K2"/>
  </x:mergeCells>
  <x:conditionalFormatting sqref="H5:H100">
    <x:cfRule type="containsText" dxfId="0" priority="1" operator="containsText" text="Blocked"/>
    <x:cfRule type="containsText" dxfId="1" priority="2" operator="containsText" text="Complete"/>
    <x:cfRule type="containsText" dxfId="2" priority="3" operator="containsText" text="Unknown"/>
  </x:conditionalFormatting>
  <x:conditionalFormatting sqref="J5:J100">
    <x:cfRule type="containsText" dxfId="3" priority="4" operator="containsText" text="Conflicting"/>
    <x:cfRule type="containsText" dxfId="4" priority="5" operator="containsText" text="Inferred"/>
  </x:conditionalFormatting>
  <x:dataValidations count="3">
    <x:dataValidation type="list" sqref="H5:H100">
      <x:formula1>"Not started,In progress,Blocked,Complete,Unknown"</x:formula1>
    </x:dataValidation>
    <x:dataValidation type="list" sqref="J5:J100">
      <x:formula1>"Confirmed,Reported,Inferred,Unknown,Conflicting"</x:formula1>
    </x:dataValidation>
    <x:dataValidation type="list" sqref="K5:K10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d419cb096949d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2" hidden="0" customWidth="1"/>
    <x:col min="3" max="3" width="18" hidden="0" customWidth="1"/>
    <x:col min="4" max="4" width="14" hidden="0" customWidth="1"/>
    <x:col min="5" max="5" width="28" hidden="0" customWidth="1"/>
    <x:col min="6" max="6" width="14" hidden="0" customWidth="1"/>
    <x:col min="7" max="7" width="34" hidden="0" customWidth="1"/>
    <x:col min="8" max="8" width="12" hidden="0" customWidth="1"/>
    <x:col min="9" max="9" width="12" hidden="0" customWidth="1"/>
    <x:col min="10" max="10" width="12" hidden="0" customWidth="1"/>
    <x:col min="11" max="11" width="30" hidden="0" customWidth="1"/>
    <x:col min="12" max="12" width="30" hidden="0" customWidth="1"/>
    <x:col min="13" max="13" width="16" hidden="0" customWidth="1"/>
    <x:col min="14" max="14" width="12" hidden="0" customWidth="1"/>
  </x:cols>
  <x:sheetData>
    <x:row r="1" ht="34" customHeight="1">
      <x:c r="A1" s="3" t="str">
        <x:v>WORKSTREAMS &amp; MEASURES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7" t="str">
        <x:v>Preliminary operating model; existing measures are preserved and missing measures are not fabricated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0" customHeight="1">
      <x:c r="A4" s="69" t="str">
        <x:v>Workstream</x:v>
      </x:c>
      <x:c r="B4" s="70" t="str">
        <x:v>Objective / outcome</x:v>
      </x:c>
      <x:c r="C4" s="70" t="str">
        <x:v>Lead</x:v>
      </x:c>
      <x:c r="D4" s="70" t="str">
        <x:v>Deliverables</x:v>
      </x:c>
      <x:c r="E4" s="70" t="str">
        <x:v>Milestones</x:v>
      </x:c>
      <x:c r="F4" s="70" t="str">
        <x:v>Measure type</x:v>
      </x:c>
      <x:c r="G4" s="70" t="str">
        <x:v>Measurement / key result</x:v>
      </x:c>
      <x:c r="H4" s="70" t="str">
        <x:v>Baseline</x:v>
      </x:c>
      <x:c r="I4" s="70" t="str">
        <x:v>Target</x:v>
      </x:c>
      <x:c r="J4" s="70" t="str">
        <x:v>Current</x:v>
      </x:c>
      <x:c r="K4" s="70" t="str">
        <x:v>Dependencies</x:v>
      </x:c>
      <x:c r="L4" s="70" t="str">
        <x:v>Source</x:v>
      </x:c>
      <x:c r="M4" s="70" t="str">
        <x:v>Evidence state</x:v>
      </x:c>
      <x:c r="N4" s="71" t="str">
        <x:v>Confidence</x:v>
      </x:c>
    </x:row>
    <x:row r="5" ht="58" customHeight="1">
      <x:c r="A5" s="76" t="str">
        <x:v>Platform Core</x:v>
      </x:c>
      <x:c r="B5" s="76" t="str">
        <x:v>Deliver a stable, faster developer platform</x:v>
      </x:c>
      <x:c r="C5" s="76" t="str">
        <x:v>Alice Chen</x:v>
      </x:c>
      <x:c r="D5" s="76" t="str">
        <x:v>DEL-001 — Internal beta</x:v>
      </x:c>
      <x:c r="E5" s="76" t="str">
        <x:v>Internal beta — 2026-09-15</x:v>
      </x:c>
      <x:c r="F5" s="76" t="str">
        <x:v>KPI</x:v>
      </x:c>
      <x:c r="G5" s="76" t="str">
        <x:v>p95 build completion time (minutes)</x:v>
      </x:c>
      <x:c r="H5" s="76" t="n">
        <x:v>18</x:v>
      </x:c>
      <x:c r="I5" s="76" t="n">
        <x:v>10</x:v>
      </x:c>
      <x:c r="J5" s="76" t="n">
        <x:v>14</x:v>
      </x:c>
      <x:c r="K5" s="76" t="str">
        <x:v>Identity Service v2 API</x:v>
      </x:c>
      <x:c r="L5" s="76" t="str">
        <x:v>Strategy Deck slide 8; Roadmap row 12</x:v>
      </x:c>
      <x:c r="M5" s="76" t="str">
        <x:v>Reported</x:v>
      </x:c>
      <x:c r="N5" s="76" t="str">
        <x:v>Medium</x:v>
      </x:c>
    </x:row>
    <x:row r="6" ht="58" customHeight="1">
      <x:c r="A6" s="77" t="str">
        <x:v>Security &amp; Compliance</x:v>
      </x:c>
      <x:c r="B6" s="77" t="str">
        <x:v>Establish production-ready security controls and approval</x:v>
      </x:c>
      <x:c r="C6" s="77" t="str">
        <x:v>Unknown</x:v>
      </x:c>
      <x:c r="D6" s="77" t="str">
        <x:v>DEL-002 — Security review</x:v>
      </x:c>
      <x:c r="E6" s="77" t="str">
        <x:v>Security review — 2026-09-30</x:v>
      </x:c>
      <x:c r="F6" s="77" t="str">
        <x:v>Not defined</x:v>
      </x:c>
      <x:c r="G6" s="77" t="str">
        <x:v>Not defined</x:v>
      </x:c>
      <x:c r="H6" s="77" t="str">
        <x:v>Unknown</x:v>
      </x:c>
      <x:c r="I6" s="77" t="str">
        <x:v>Not defined</x:v>
      </x:c>
      <x:c r="J6" s="77" t="str">
        <x:v>Unknown</x:v>
      </x:c>
      <x:c r="K6" s="77" t="str">
        <x:v>Security architecture and reviewer capacity</x:v>
      </x:c>
      <x:c r="L6" s="77" t="str">
        <x:v>Security Review Notes, section 2</x:v>
      </x:c>
      <x:c r="M6" s="77" t="str">
        <x:v>Reported</x:v>
      </x:c>
      <x:c r="N6" s="77" t="str">
        <x:v>Medium</x:v>
      </x:c>
    </x:row>
    <x:row r="7" ht="58" customHeight="1">
      <x:c r="A7" s="77" t="str">
        <x:v>Adoption &amp; Migration</x:v>
      </x:c>
      <x:c r="B7" s="77" t="str">
        <x:v>Prove repeatable onboarding with pilot teams</x:v>
      </x:c>
      <x:c r="C7" s="77" t="str">
        <x:v>Jordan Lee</x:v>
      </x:c>
      <x:c r="D7" s="77" t="str">
        <x:v>DEL-004 — Migration playbook</x:v>
      </x:c>
      <x:c r="E7" s="77" t="str">
        <x:v>Migration playbook — 2026-10-10</x:v>
      </x:c>
      <x:c r="F7" s="77" t="str">
        <x:v>Metric</x:v>
      </x:c>
      <x:c r="G7" s="77" t="str">
        <x:v>Pilot teams onboarded</x:v>
      </x:c>
      <x:c r="H7" s="77" t="n">
        <x:v>0</x:v>
      </x:c>
      <x:c r="I7" s="77" t="n">
        <x:v>3</x:v>
      </x:c>
      <x:c r="J7" s="77" t="n">
        <x:v>1</x:v>
      </x:c>
      <x:c r="K7" s="77" t="str">
        <x:v>Platform beta stability</x:v>
      </x:c>
      <x:c r="L7" s="77" t="str">
        <x:v>Leadership Notes; Strategy Deck slide 10</x:v>
      </x:c>
      <x:c r="M7" s="77" t="str">
        <x:v>Reported</x:v>
      </x:c>
      <x:c r="N7" s="77" t="str">
        <x:v>Medium</x:v>
      </x:c>
    </x:row>
    <x:row r="8" ht="58" customHeight="1">
      <x:c r="A8" s="77" t="str">
        <x:v>Launch Readiness</x:v>
      </x:c>
      <x:c r="B8" s="77" t="str">
        <x:v>Prepare target teams and operating support for launch</x:v>
      </x:c>
      <x:c r="C8" s="77" t="str">
        <x:v>Unknown</x:v>
      </x:c>
      <x:c r="D8" s="77" t="str">
        <x:v>DEL-003 — GA release</x:v>
      </x:c>
      <x:c r="E8" s="77" t="str">
        <x:v>GA release — 2026-10-30 (conflicting)</x:v>
      </x:c>
      <x:c r="F8" s="77" t="str">
        <x:v>OKR</x:v>
      </x:c>
      <x:c r="G8" s="77" t="str">
        <x:v>Onboard 8 of 10 target teams by 2026-12-15</x:v>
      </x:c>
      <x:c r="H8" s="77" t="n">
        <x:v>0</x:v>
      </x:c>
      <x:c r="I8" s="77" t="n">
        <x:v>8</x:v>
      </x:c>
      <x:c r="J8" s="77" t="n">
        <x:v>1</x:v>
      </x:c>
      <x:c r="K8" s="77" t="str">
        <x:v>Launch definition; security approval; migration playbook</x:v>
      </x:c>
      <x:c r="L8" s="77" t="str">
        <x:v>Strategy Deck slide 11 vs Leadership Notes</x:v>
      </x:c>
      <x:c r="M8" s="77" t="str">
        <x:v>Conflicting</x:v>
      </x:c>
      <x:c r="N8" s="77" t="str">
        <x:v>Low</x:v>
      </x:c>
    </x:row>
  </x:sheetData>
  <x:mergeCells>
    <x:mergeCell ref="A1:N1"/>
    <x:mergeCell ref="A2:N2"/>
  </x:mergeCells>
  <x:conditionalFormatting sqref="F5:F100">
    <x:cfRule type="containsText" dxfId="5" priority="1" operator="containsText" text="Not defined"/>
  </x:conditionalFormatting>
  <x:conditionalFormatting sqref="M5:M100">
    <x:cfRule type="containsText" dxfId="6" priority="2" operator="containsText" text="Conflicting"/>
    <x:cfRule type="containsText" dxfId="7" priority="3" operator="containsText" text="Inferred"/>
  </x:conditionalFormatting>
  <x:dataValidations count="3">
    <x:dataValidation type="list" sqref="F5:F100">
      <x:formula1>"OKR,KPI,Metric,SLA,Not defined"</x:formula1>
    </x:dataValidation>
    <x:dataValidation type="list" sqref="M5:M100">
      <x:formula1>"Confirmed,Reported,Inferred,Unknown,Conflicting"</x:formula1>
    </x:dataValidation>
    <x:dataValidation type="list" sqref="N5:N10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f5f82b7d2e457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38" hidden="0" customWidth="1"/>
    <x:col min="4" max="4" width="23" hidden="0" customWidth="1"/>
    <x:col min="5" max="5" width="18" hidden="0" customWidth="1"/>
    <x:col min="6" max="6" width="13" hidden="0" customWidth="1"/>
    <x:col min="7" max="7" width="12" hidden="0" customWidth="1"/>
    <x:col min="8" max="8" width="13" hidden="0" customWidth="1"/>
    <x:col min="9" max="9" width="42" hidden="0" customWidth="1"/>
    <x:col min="10" max="10" width="13" hidden="0" customWidth="1"/>
    <x:col min="11" max="11" width="14" hidden="0" customWidth="1"/>
    <x:col min="12" max="12" width="30" hidden="0" customWidth="1"/>
    <x:col min="13" max="13" width="16" hidden="0" customWidth="1"/>
    <x:col min="14" max="14" width="12" hidden="0" customWidth="1"/>
  </x:cols>
  <x:sheetData>
    <x:row r="1" ht="34" customHeight="1">
      <x:c r="A1" s="3" t="str">
        <x:v>RAID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7" t="str">
        <x:v>Risks, assumptions, issues, and dependencies extracted during initiation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0" customHeight="1">
      <x:c r="A4" s="69" t="str">
        <x:v>ID</x:v>
      </x:c>
      <x:c r="B4" s="70" t="str">
        <x:v>Type</x:v>
      </x:c>
      <x:c r="C4" s="70" t="str">
        <x:v>Description</x:v>
      </x:c>
      <x:c r="D4" s="70" t="str">
        <x:v>Workstream</x:v>
      </x:c>
      <x:c r="E4" s="70" t="str">
        <x:v>Owner</x:v>
      </x:c>
      <x:c r="F4" s="70" t="str">
        <x:v>Probability</x:v>
      </x:c>
      <x:c r="G4" s="70" t="str">
        <x:v>Impact</x:v>
      </x:c>
      <x:c r="H4" s="70" t="str">
        <x:v>Priority</x:v>
      </x:c>
      <x:c r="I4" s="70" t="str">
        <x:v>Mitigation / action</x:v>
      </x:c>
      <x:c r="J4" s="70" t="str">
        <x:v>Due date</x:v>
      </x:c>
      <x:c r="K4" s="70" t="str">
        <x:v>Status</x:v>
      </x:c>
      <x:c r="L4" s="70" t="str">
        <x:v>Source</x:v>
      </x:c>
      <x:c r="M4" s="70" t="str">
        <x:v>Evidence state</x:v>
      </x:c>
      <x:c r="N4" s="71" t="str">
        <x:v>Confidence</x:v>
      </x:c>
    </x:row>
    <x:row r="5" ht="58" customHeight="1">
      <x:c r="A5" s="76" t="str">
        <x:v>RAID-001</x:v>
      </x:c>
      <x:c r="B5" s="76" t="str">
        <x:v>Risk</x:v>
      </x:c>
      <x:c r="C5" s="76" t="str">
        <x:v>Security review may miss the date required for production launch</x:v>
      </x:c>
      <x:c r="D5" s="76" t="str">
        <x:v>Security &amp; Compliance</x:v>
      </x:c>
      <x:c r="E5" s="76" t="str">
        <x:v>Unknown</x:v>
      </x:c>
      <x:c r="F5" s="76" t="str">
        <x:v>High</x:v>
      </x:c>
      <x:c r="G5" s="76" t="str">
        <x:v>High</x:v>
      </x:c>
      <x:c r="H5" s="76" t="str">
        <x:v>Critical</x:v>
      </x:c>
      <x:c r="I5" s="76" t="str">
        <x:v>Recommended: name accountable owner and agree review decision date</x:v>
      </x:c>
      <x:c r="J5" s="78" t="n">
        <x:v>46221</x:v>
      </x:c>
      <x:c r="K5" s="76" t="str">
        <x:v>Open</x:v>
      </x:c>
      <x:c r="L5" s="76" t="str">
        <x:v>Security Review Notes, section 2</x:v>
      </x:c>
      <x:c r="M5" s="76" t="str">
        <x:v>Reported</x:v>
      </x:c>
      <x:c r="N5" s="76" t="str">
        <x:v>Medium</x:v>
      </x:c>
    </x:row>
    <x:row r="6" ht="58" customHeight="1">
      <x:c r="A6" s="77" t="str">
        <x:v>RAID-002</x:v>
      </x:c>
      <x:c r="B6" s="77" t="str">
        <x:v>Issue</x:v>
      </x:c>
      <x:c r="C6" s="77" t="str">
        <x:v>Sources disagree on whether launch means internal beta or GA</x:v>
      </x:c>
      <x:c r="D6" s="77" t="str">
        <x:v>Program-wide</x:v>
      </x:c>
      <x:c r="E6" s="77" t="str">
        <x:v>Executive sponsor</x:v>
      </x:c>
      <x:c r="F6" s="77" t="str">
        <x:v>N/A</x:v>
      </x:c>
      <x:c r="G6" s="77" t="str">
        <x:v>High</x:v>
      </x:c>
      <x:c r="H6" s="77" t="str">
        <x:v>Critical</x:v>
      </x:c>
      <x:c r="I6" s="77" t="str">
        <x:v>Obtain explicit sponsor decision and update all program artifacts</x:v>
      </x:c>
      <x:c r="J6" s="79" t="n">
        <x:v>46220</x:v>
      </x:c>
      <x:c r="K6" s="77" t="str">
        <x:v>Open</x:v>
      </x:c>
      <x:c r="L6" s="77" t="str">
        <x:v>Roadmap vs Leadership Notes</x:v>
      </x:c>
      <x:c r="M6" s="77" t="str">
        <x:v>Conflicting</x:v>
      </x:c>
      <x:c r="N6" s="77" t="str">
        <x:v>High</x:v>
      </x:c>
    </x:row>
    <x:row r="7" ht="58" customHeight="1">
      <x:c r="A7" s="77" t="str">
        <x:v>RAID-003</x:v>
      </x:c>
      <x:c r="B7" s="77" t="str">
        <x:v>Assumption</x:v>
      </x:c>
      <x:c r="C7" s="77" t="str">
        <x:v>Pilot teams can allocate engineering capacity for migration</x:v>
      </x:c>
      <x:c r="D7" s="77" t="str">
        <x:v>Adoption &amp; Migration</x:v>
      </x:c>
      <x:c r="E7" s="77" t="str">
        <x:v>Jordan Lee</x:v>
      </x:c>
      <x:c r="F7" s="77" t="str">
        <x:v>N/A</x:v>
      </x:c>
      <x:c r="G7" s="77" t="str">
        <x:v>Medium</x:v>
      </x:c>
      <x:c r="H7" s="77" t="str">
        <x:v>High</x:v>
      </x:c>
      <x:c r="I7" s="77" t="str">
        <x:v>Recommended: confirm named pilot teams and capacity commitments</x:v>
      </x:c>
      <x:c r="J7" s="79" t="n">
        <x:v>46227</x:v>
      </x:c>
      <x:c r="K7" s="77" t="str">
        <x:v>Monitoring</x:v>
      </x:c>
      <x:c r="L7" s="77" t="str">
        <x:v>Leadership Notes, action 4</x:v>
      </x:c>
      <x:c r="M7" s="77" t="str">
        <x:v>Reported</x:v>
      </x:c>
      <x:c r="N7" s="77" t="str">
        <x:v>Medium</x:v>
      </x:c>
    </x:row>
    <x:row r="8" ht="58" customHeight="1">
      <x:c r="A8" s="77" t="str">
        <x:v>RAID-004</x:v>
      </x:c>
      <x:c r="B8" s="77" t="str">
        <x:v>Dependency</x:v>
      </x:c>
      <x:c r="C8" s="77" t="str">
        <x:v>Identity Service v2 API must be production-ready for platform authentication</x:v>
      </x:c>
      <x:c r="D8" s="77" t="str">
        <x:v>Platform Core</x:v>
      </x:c>
      <x:c r="E8" s="77" t="str">
        <x:v>Identity team</x:v>
      </x:c>
      <x:c r="F8" s="77" t="str">
        <x:v>N/A</x:v>
      </x:c>
      <x:c r="G8" s="77" t="str">
        <x:v>High</x:v>
      </x:c>
      <x:c r="H8" s="77" t="str">
        <x:v>High</x:v>
      </x:c>
      <x:c r="I8" s="77" t="str">
        <x:v>Validate API readiness date and fallback behavior</x:v>
      </x:c>
      <x:c r="J8" s="79" t="n">
        <x:v>46225</x:v>
      </x:c>
      <x:c r="K8" s="77" t="str">
        <x:v>Monitoring</x:v>
      </x:c>
      <x:c r="L8" s="77" t="str">
        <x:v>Atlas Roadmap, dependency D-3</x:v>
      </x:c>
      <x:c r="M8" s="77" t="str">
        <x:v>Confirmed</x:v>
      </x:c>
      <x:c r="N8" s="77" t="str">
        <x:v>High</x:v>
      </x:c>
    </x:row>
    <x:row r="9" ht="58" customHeight="1">
      <x:c r="A9" s="77" t="str">
        <x:v>RAID-005</x:v>
      </x:c>
      <x:c r="B9" s="77" t="str">
        <x:v>Risk</x:v>
      </x:c>
      <x:c r="C9" s="77" t="str">
        <x:v>Shared platform team capacity may not support beta stabilization and GA preparation in parallel</x:v>
      </x:c>
      <x:c r="D9" s="77" t="str">
        <x:v>Platform Core</x:v>
      </x:c>
      <x:c r="E9" s="77" t="str">
        <x:v>Alice Chen</x:v>
      </x:c>
      <x:c r="F9" s="77" t="str">
        <x:v>Medium</x:v>
      </x:c>
      <x:c r="G9" s="77" t="str">
        <x:v>High</x:v>
      </x:c>
      <x:c r="H9" s="77" t="str">
        <x:v>High</x:v>
      </x:c>
      <x:c r="I9" s="77" t="str">
        <x:v>Recommended: capacity review after launch definition is resolved</x:v>
      </x:c>
      <x:c r="J9" s="79" t="n">
        <x:v>46228</x:v>
      </x:c>
      <x:c r="K9" s="77" t="str">
        <x:v>Open</x:v>
      </x:c>
      <x:c r="L9" s="77" t="str">
        <x:v>Leadership Notes, staffing discussion</x:v>
      </x:c>
      <x:c r="M9" s="77" t="str">
        <x:v>Inferred</x:v>
      </x:c>
      <x:c r="N9" s="77" t="str">
        <x:v>Low</x:v>
      </x:c>
    </x:row>
  </x:sheetData>
  <x:mergeCells>
    <x:mergeCell ref="A1:N1"/>
    <x:mergeCell ref="A2:N2"/>
  </x:mergeCells>
  <x:conditionalFormatting sqref="H5:H100">
    <x:cfRule type="containsText" dxfId="9" priority="1" operator="containsText" text="Critical"/>
    <x:cfRule type="containsText" dxfId="10" priority="2" operator="containsText" text="High"/>
  </x:conditionalFormatting>
  <x:conditionalFormatting sqref="M5:M100">
    <x:cfRule type="containsText" dxfId="11" priority="3" operator="containsText" text="Conflicting"/>
    <x:cfRule type="containsText" dxfId="12" priority="4" operator="containsText" text="Inferred"/>
  </x:conditionalFormatting>
  <x:dataValidations count="6">
    <x:dataValidation type="list" sqref="B5:B100">
      <x:formula1>"Risk,Assumption,Issue,Dependency"</x:formula1>
    </x:dataValidation>
    <x:dataValidation type="list" sqref="F5:G100">
      <x:formula1>"High,Medium,Low,N/A"</x:formula1>
    </x:dataValidation>
    <x:dataValidation type="list" sqref="H5:H100">
      <x:formula1>"Critical,High,Medium,Low"</x:formula1>
    </x:dataValidation>
    <x:dataValidation type="list" sqref="K5:K100">
      <x:formula1>"Open,Monitoring,Mitigating,Blocked,Closed,Unknown"</x:formula1>
    </x:dataValidation>
    <x:dataValidation type="list" sqref="M5:M100">
      <x:formula1>"Confirmed,Reported,Inferred,Unknown,Conflicting"</x:formula1>
    </x:dataValidation>
    <x:dataValidation type="list" sqref="N5:N10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8844cc0a6e49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30" hidden="0" customWidth="1"/>
    <x:col min="4" max="4" width="23" hidden="0" customWidth="1"/>
    <x:col min="5" max="5" width="18" hidden="0" customWidth="1"/>
    <x:col min="6" max="6" width="34" hidden="0" customWidth="1"/>
    <x:col min="7" max="7" width="35" hidden="0" customWidth="1"/>
    <x:col min="8" max="8" width="34" hidden="0" customWidth="1"/>
  </x:cols>
  <x:sheetData>
    <x:row r="1" ht="34" customHeight="1">
      <x:c r="A1" s="3" t="str">
        <x:v>EVIDENCE &amp; GAPS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Source provenance, limitations, contradictions, and unresolved initiation questions</x:v>
      </x:c>
      <x:c r="B2" s="7"/>
      <x:c r="C2" s="7"/>
      <x:c r="D2" s="7"/>
      <x:c r="E2" s="7"/>
      <x:c r="F2" s="7"/>
      <x:c r="G2" s="7"/>
      <x:c r="H2" s="7"/>
    </x:row>
    <x:row r="3">
      <x:c r="A3" s="39" t="str">
        <x:v>SOURCE INVENTORY</x:v>
      </x:c>
      <x:c r="B3" s="39"/>
      <x:c r="C3" s="39"/>
      <x:c r="D3" s="39"/>
      <x:c r="E3" s="39"/>
      <x:c r="F3" s="39"/>
      <x:c r="G3" s="39"/>
      <x:c r="H3" s="39"/>
    </x:row>
    <x:row r="4" ht="30" customHeight="1">
      <x:c r="A4" s="69" t="str">
        <x:v>Source</x:v>
      </x:c>
      <x:c r="B4" s="70" t="str">
        <x:v>Source date</x:v>
      </x:c>
      <x:c r="C4" s="70" t="str">
        <x:v>Apparent purpose</x:v>
      </x:c>
      <x:c r="D4" s="70" t="str">
        <x:v>Apparent authority</x:v>
      </x:c>
      <x:c r="E4" s="70" t="str">
        <x:v>Freshness</x:v>
      </x:c>
      <x:c r="F4" s="70" t="str">
        <x:v>Relevant content</x:v>
      </x:c>
      <x:c r="G4" s="71" t="str">
        <x:v>Limitations</x:v>
      </x:c>
    </x:row>
    <x:row r="5" ht="48" customHeight="1">
      <x:c r="A5" s="76" t="str">
        <x:v>Atlas Strategy Deck.pptx</x:v>
      </x:c>
      <x:c r="B5" s="78" t="n">
        <x:v>46188</x:v>
      </x:c>
      <x:c r="C5" s="76" t="str">
        <x:v>Executive strategy</x:v>
      </x:c>
      <x:c r="D5" s="76" t="str">
        <x:v>Executive</x:v>
      </x:c>
      <x:c r="E5" s="76" t="str">
        <x:v>Current</x:v>
      </x:c>
      <x:c r="F5" s="76" t="str">
        <x:v>Mandate, intended outcomes, adoption KR</x:v>
      </x:c>
      <x:c r="G5" s="76" t="str">
        <x:v>High-level; does not define delivery ownership</x:v>
      </x:c>
    </x:row>
    <x:row r="6" ht="48" customHeight="1">
      <x:c r="A6" s="77" t="str">
        <x:v>Atlas Roadmap.xlsx</x:v>
      </x:c>
      <x:c r="B6" s="79" t="n">
        <x:v>46114</x:v>
      </x:c>
      <x:c r="C6" s="77" t="str">
        <x:v>Delivery planning</x:v>
      </x:c>
      <x:c r="D6" s="77" t="str">
        <x:v>Program team</x:v>
      </x:c>
      <x:c r="E6" s="77" t="str">
        <x:v>Potentially stale</x:v>
      </x:c>
      <x:c r="F6" s="77" t="str">
        <x:v>Deliverables, milestones, dependencies</x:v>
      </x:c>
      <x:c r="G6" s="77" t="str">
        <x:v>Predates recent leadership discussion</x:v>
      </x:c>
    </x:row>
    <x:row r="7" ht="48" customHeight="1">
      <x:c r="A7" s="77" t="str">
        <x:v>Leadership Meeting Notes.docx</x:v>
      </x:c>
      <x:c r="B7" s="79" t="n">
        <x:v>46211</x:v>
      </x:c>
      <x:c r="C7" s="77" t="str">
        <x:v>Leadership decisions and actions</x:v>
      </x:c>
      <x:c r="D7" s="77" t="str">
        <x:v>TPM notes</x:v>
      </x:c>
      <x:c r="E7" s="77" t="str">
        <x:v>Current</x:v>
      </x:c>
      <x:c r="F7" s="77" t="str">
        <x:v>Launch language, staffing concerns, action items</x:v>
      </x:c>
      <x:c r="G7" s="77" t="str">
        <x:v>Notes are not an approved decision record</x:v>
      </x:c>
    </x:row>
    <x:row r="8" ht="48" customHeight="1">
      <x:c r="A8" s="77" t="str">
        <x:v>Security Review Notes.docx</x:v>
      </x:c>
      <x:c r="B8" s="79" t="n">
        <x:v>46213</x:v>
      </x:c>
      <x:c r="C8" s="77" t="str">
        <x:v>Technical review</x:v>
      </x:c>
      <x:c r="D8" s="77" t="str">
        <x:v>Security reviewers</x:v>
      </x:c>
      <x:c r="E8" s="77" t="str">
        <x:v>Current</x:v>
      </x:c>
      <x:c r="F8" s="77" t="str">
        <x:v>Security gaps, approval uncertainty</x:v>
      </x:c>
      <x:c r="G8" s="77" t="str">
        <x:v>Does not identify accountable approver</x:v>
      </x:c>
    </x:row>
    <x:row r="11">
      <x:c r="A11" s="39" t="str">
        <x:v>CRITICAL GAPS</x:v>
      </x:c>
      <x:c r="B11" s="39"/>
      <x:c r="C11" s="39"/>
      <x:c r="D11" s="39"/>
      <x:c r="E11" s="39"/>
      <x:c r="F11" s="39"/>
      <x:c r="G11" s="39"/>
      <x:c r="H11" s="39"/>
    </x:row>
    <x:row r="12" ht="30" customHeight="1">
      <x:c r="A12" s="69" t="str">
        <x:v>Gap ID</x:v>
      </x:c>
      <x:c r="B12" s="70" t="str">
        <x:v>Gap or conflict</x:v>
      </x:c>
      <x:c r="C12" s="70" t="str">
        <x:v>Why it matters</x:v>
      </x:c>
      <x:c r="D12" s="70" t="str">
        <x:v>Impacted workstream</x:v>
      </x:c>
      <x:c r="E12" s="70" t="str">
        <x:v>Priority</x:v>
      </x:c>
      <x:c r="F12" s="70" t="str">
        <x:v>Recommended resolver</x:v>
      </x:c>
      <x:c r="G12" s="70" t="str">
        <x:v>Status</x:v>
      </x:c>
      <x:c r="H12" s="71" t="str">
        <x:v>Related sources</x:v>
      </x:c>
    </x:row>
    <x:row r="13" ht="58" customHeight="1">
      <x:c r="A13" s="76" t="str">
        <x:v>GAP-001</x:v>
      </x:c>
      <x:c r="B13" s="76" t="str">
        <x:v>Definition of launch is conflicting</x:v>
      </x:c>
      <x:c r="C13" s="76" t="str">
        <x:v>Changes scope, acceptance criteria, sequencing, and executive commitments</x:v>
      </x:c>
      <x:c r="D13" s="76" t="str">
        <x:v>Program-wide</x:v>
      </x:c>
      <x:c r="E13" s="76" t="str">
        <x:v>Critical</x:v>
      </x:c>
      <x:c r="F13" s="76" t="str">
        <x:v>Executive sponsor</x:v>
      </x:c>
      <x:c r="G13" s="76" t="str">
        <x:v>Open</x:v>
      </x:c>
      <x:c r="H13" s="76" t="str">
        <x:v>Strategy Deck; Roadmap; Leadership Notes</x:v>
      </x:c>
    </x:row>
    <x:row r="14" ht="58" customHeight="1">
      <x:c r="A14" s="77" t="str">
        <x:v>GAP-002</x:v>
      </x:c>
      <x:c r="B14" s="77" t="str">
        <x:v>Security approval owner is unknown</x:v>
      </x:c>
      <x:c r="C14" s="77" t="str">
        <x:v>No accountable decision-maker exists for a critical path review</x:v>
      </x:c>
      <x:c r="D14" s="77" t="str">
        <x:v>Security &amp; Compliance</x:v>
      </x:c>
      <x:c r="E14" s="77" t="str">
        <x:v>Critical</x:v>
      </x:c>
      <x:c r="F14" s="77" t="str">
        <x:v>Executive sponsor / Security leadership</x:v>
      </x:c>
      <x:c r="G14" s="77" t="str">
        <x:v>Open</x:v>
      </x:c>
      <x:c r="H14" s="77" t="str">
        <x:v>Security Review Notes</x:v>
      </x:c>
    </x:row>
    <x:row r="15" ht="58" customHeight="1">
      <x:c r="A15" s="77" t="str">
        <x:v>GAP-003</x:v>
      </x:c>
      <x:c r="B15" s="77" t="str">
        <x:v>Out-of-scope boundaries are not defined</x:v>
      </x:c>
      <x:c r="C15" s="77" t="str">
        <x:v>Creates expansion and resourcing risk</x:v>
      </x:c>
      <x:c r="D15" s="77" t="str">
        <x:v>Program-wide</x:v>
      </x:c>
      <x:c r="E15" s="77" t="str">
        <x:v>High</x:v>
      </x:c>
      <x:c r="F15" s="77" t="str">
        <x:v>Program owner</x:v>
      </x:c>
      <x:c r="G15" s="77" t="str">
        <x:v>Open</x:v>
      </x:c>
      <x:c r="H15" s="77" t="str">
        <x:v>All sources</x:v>
      </x:c>
    </x:row>
    <x:row r="16" ht="58" customHeight="1">
      <x:c r="A16" s="77" t="str">
        <x:v>GAP-004</x:v>
      </x:c>
      <x:c r="B16" s="77" t="str">
        <x:v>Security success measures are not defined</x:v>
      </x:c>
      <x:c r="C16" s="77" t="str">
        <x:v>Approval quality and readiness cannot be measured consistently</x:v>
      </x:c>
      <x:c r="D16" s="77" t="str">
        <x:v>Security &amp; Compliance</x:v>
      </x:c>
      <x:c r="E16" s="77" t="str">
        <x:v>High</x:v>
      </x:c>
      <x:c r="F16" s="77" t="str">
        <x:v>Security workstream lead</x:v>
      </x:c>
      <x:c r="G16" s="77" t="str">
        <x:v>Open</x:v>
      </x:c>
      <x:c r="H16" s="77" t="str">
        <x:v>Security Review Notes</x:v>
      </x:c>
    </x:row>
    <x:row r="19">
      <x:c r="A19" s="39" t="str">
        <x:v>EVIDENCE LEGEND</x:v>
      </x:c>
      <x:c r="B19" s="39"/>
      <x:c r="C19" s="39"/>
      <x:c r="D19" s="39"/>
      <x:c r="E19" s="39"/>
      <x:c r="F19" s="39"/>
      <x:c r="G19" s="39"/>
      <x:c r="H19" s="39"/>
    </x:row>
    <x:row r="20" ht="34" customHeight="1">
      <x:c r="A20" s="85" t="str">
        <x:v>Confirmed</x:v>
      </x:c>
      <x:c r="B20" s="76" t="str">
        <x:v>Supported by a current, authoritative source</x:v>
      </x:c>
    </x:row>
    <x:row r="21" ht="34" customHeight="1">
      <x:c r="A21" s="86" t="str">
        <x:v>Reported</x:v>
      </x:c>
      <x:c r="B21" s="77" t="str">
        <x:v>Stated by a person or source but not independently confirmed</x:v>
      </x:c>
    </x:row>
    <x:row r="22" ht="34" customHeight="1">
      <x:c r="A22" s="86" t="str">
        <x:v>Inferred</x:v>
      </x:c>
      <x:c r="B22" s="77" t="str">
        <x:v>Reasonably derived from available evidence; requires TPM confirmation</x:v>
      </x:c>
    </x:row>
    <x:row r="23" ht="34" customHeight="1">
      <x:c r="A23" s="86" t="str">
        <x:v>Unknown</x:v>
      </x:c>
      <x:c r="B23" s="77" t="str">
        <x:v>Needed for the baseline but unavailable</x:v>
      </x:c>
    </x:row>
    <x:row r="24" ht="34" customHeight="1">
      <x:c r="A24" s="86" t="str">
        <x:v>Conflicting</x:v>
      </x:c>
      <x:c r="B24" s="77" t="str">
        <x:v>Credible sources disagree</x:v>
      </x:c>
    </x:row>
  </x:sheetData>
  <x:mergeCells>
    <x:mergeCell ref="A1:H1"/>
    <x:mergeCell ref="A2:H2"/>
    <x:mergeCell ref="A3:H3"/>
    <x:mergeCell ref="A11:H11"/>
    <x:mergeCell ref="A19:H19"/>
  </x:mergeCells>
  <x:conditionalFormatting sqref="E13:E100">
    <x:cfRule type="containsText" dxfId="13" priority="1" operator="containsText" text="Critical"/>
    <x:cfRule type="containsText" dxfId="14" priority="2" operator="containsText" text="High"/>
  </x:conditionalFormatting>
  <x:conditionalFormatting sqref="A20:A24">
    <x:cfRule type="containsText" dxfId="15" priority="3" operator="containsText" text="Confirmed"/>
    <x:cfRule type="containsText" dxfId="16" priority="4" operator="containsText" text="Inferred"/>
    <x:cfRule type="containsText" dxfId="17" priority="5" operator="containsText" text="Conflicting"/>
  </x:conditionalFormatting>
  <x:dataValidations count="2">
    <x:dataValidation type="list" sqref="E13:E100">
      <x:formula1>"Critical,High,Medium,Low"</x:formula1>
    </x:dataValidation>
    <x:dataValidation type="list" sqref="G13:G100">
      <x:formula1>"Open,In progress,Resolved,Deferred"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255ec35fadfb4bbf"/>
    <x:tablePart xmlns:r="http://schemas.openxmlformats.org/officeDocument/2006/relationships" r:id="Rbd0c79a1e034456e"/>
  </x:tableParts>
</x:worksheet>
</file>